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LI ZE\Desktop\"/>
    </mc:Choice>
  </mc:AlternateContent>
  <xr:revisionPtr revIDLastSave="0" documentId="13_ncr:1_{53930937-C493-4EEE-8E0F-FC97886C6D64}" xr6:coauthVersionLast="45" xr6:coauthVersionMax="45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7" i="1" l="1"/>
  <c r="R17" i="1"/>
  <c r="AD17" i="1"/>
  <c r="Z17" i="1"/>
  <c r="AF17" i="1"/>
  <c r="R16" i="1"/>
  <c r="S16" i="1"/>
  <c r="AD16" i="1"/>
  <c r="AD15" i="1"/>
  <c r="AD14" i="1"/>
  <c r="S14" i="1"/>
  <c r="R14" i="1"/>
  <c r="AD13" i="1"/>
  <c r="S13" i="1"/>
  <c r="R13" i="1"/>
  <c r="R12" i="1" l="1"/>
  <c r="AD12" i="1"/>
  <c r="S12" i="1"/>
  <c r="AD11" i="1"/>
  <c r="R7" i="1"/>
  <c r="S7" i="1"/>
  <c r="AD9" i="1"/>
  <c r="AD21" i="1"/>
  <c r="AD20" i="1"/>
  <c r="AD19" i="1"/>
  <c r="AD18" i="1"/>
  <c r="AD10" i="1"/>
  <c r="AD8" i="1"/>
  <c r="AD7" i="1"/>
  <c r="R8" i="1"/>
  <c r="R6" i="1"/>
  <c r="S21" i="1"/>
  <c r="R21" i="1"/>
  <c r="S20" i="1"/>
  <c r="R20" i="1"/>
  <c r="S19" i="1"/>
  <c r="R19" i="1"/>
  <c r="S18" i="1"/>
  <c r="R18" i="1"/>
  <c r="S15" i="1"/>
  <c r="R15" i="1"/>
  <c r="S11" i="1"/>
  <c r="R11" i="1"/>
  <c r="S10" i="1"/>
  <c r="R10" i="1"/>
  <c r="S9" i="1"/>
  <c r="R9" i="1"/>
  <c r="S8" i="1"/>
  <c r="AD6" i="1"/>
  <c r="AD5" i="1"/>
  <c r="AD4" i="1"/>
  <c r="S6" i="1"/>
  <c r="S4" i="1"/>
  <c r="R4" i="1"/>
  <c r="S5" i="1"/>
  <c r="R5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4" i="1"/>
  <c r="R1" i="1"/>
  <c r="AB5" i="1"/>
</calcChain>
</file>

<file path=xl/sharedStrings.xml><?xml version="1.0" encoding="utf-8"?>
<sst xmlns="http://schemas.openxmlformats.org/spreadsheetml/2006/main" count="206" uniqueCount="99">
  <si>
    <t>楼盘名称</t>
    <phoneticPr fontId="1" type="noConversion"/>
  </si>
  <si>
    <t>板块</t>
    <phoneticPr fontId="1" type="noConversion"/>
  </si>
  <si>
    <t>序号</t>
    <phoneticPr fontId="1" type="noConversion"/>
  </si>
  <si>
    <t>区域</t>
    <phoneticPr fontId="1" type="noConversion"/>
  </si>
  <si>
    <t>业态</t>
    <phoneticPr fontId="1" type="noConversion"/>
  </si>
  <si>
    <t>具体业态</t>
    <phoneticPr fontId="1" type="noConversion"/>
  </si>
  <si>
    <t>高层单价</t>
    <phoneticPr fontId="1" type="noConversion"/>
  </si>
  <si>
    <t>小高层单价</t>
    <phoneticPr fontId="1" type="noConversion"/>
  </si>
  <si>
    <t>洋房单价</t>
    <phoneticPr fontId="1" type="noConversion"/>
  </si>
  <si>
    <t>叠墅单价</t>
    <phoneticPr fontId="1" type="noConversion"/>
  </si>
  <si>
    <t>面积段</t>
    <phoneticPr fontId="1" type="noConversion"/>
  </si>
  <si>
    <t>土拍时间</t>
    <phoneticPr fontId="1" type="noConversion"/>
  </si>
  <si>
    <t>首开时间</t>
    <phoneticPr fontId="1" type="noConversion"/>
  </si>
  <si>
    <t>售罄时间</t>
    <phoneticPr fontId="1" type="noConversion"/>
  </si>
  <si>
    <t>交付时间</t>
    <phoneticPr fontId="1" type="noConversion"/>
  </si>
  <si>
    <t>已售套数</t>
    <phoneticPr fontId="1" type="noConversion"/>
  </si>
  <si>
    <t>库存套数</t>
    <phoneticPr fontId="1" type="noConversion"/>
  </si>
  <si>
    <t>装修情况</t>
    <phoneticPr fontId="1" type="noConversion"/>
  </si>
  <si>
    <t>销售状态</t>
    <phoneticPr fontId="1" type="noConversion"/>
  </si>
  <si>
    <t>是否限价</t>
    <phoneticPr fontId="1" type="noConversion"/>
  </si>
  <si>
    <t>是否抬板</t>
    <phoneticPr fontId="1" type="noConversion"/>
  </si>
  <si>
    <t>物业费</t>
    <phoneticPr fontId="1" type="noConversion"/>
  </si>
  <si>
    <t>下沙</t>
    <phoneticPr fontId="1" type="noConversion"/>
  </si>
  <si>
    <t>金沙湖</t>
    <phoneticPr fontId="1" type="noConversion"/>
  </si>
  <si>
    <t>细分板块</t>
    <phoneticPr fontId="1" type="noConversion"/>
  </si>
  <si>
    <t>钱塘区</t>
    <phoneticPr fontId="1" type="noConversion"/>
  </si>
  <si>
    <t>绿城·月映金沙庭</t>
    <phoneticPr fontId="1" type="noConversion"/>
  </si>
  <si>
    <t>排屋</t>
    <phoneticPr fontId="1" type="noConversion"/>
  </si>
  <si>
    <t>下沙工业园</t>
    <phoneticPr fontId="1" type="noConversion"/>
  </si>
  <si>
    <t>滨江兴耀·沐青云府</t>
    <phoneticPr fontId="1" type="noConversion"/>
  </si>
  <si>
    <t>云启钱湾二期(望潮)</t>
    <phoneticPr fontId="1" type="noConversion"/>
  </si>
  <si>
    <t>绿城·鸣澜江上</t>
    <phoneticPr fontId="1" type="noConversion"/>
  </si>
  <si>
    <t>下沙沿江</t>
    <phoneticPr fontId="1" type="noConversion"/>
  </si>
  <si>
    <t>凯德·璟高府</t>
    <phoneticPr fontId="1" type="noConversion"/>
  </si>
  <si>
    <t>绿城蓝滨·金沙湖项目</t>
    <phoneticPr fontId="1" type="noConversion"/>
  </si>
  <si>
    <t>绿城&amp;兴耀·下沙项目</t>
    <phoneticPr fontId="1" type="noConversion"/>
  </si>
  <si>
    <t>绿城·湖映金沙轩</t>
    <phoneticPr fontId="1" type="noConversion"/>
  </si>
  <si>
    <t>下沙医药小镇</t>
    <phoneticPr fontId="1" type="noConversion"/>
  </si>
  <si>
    <t>大学城北</t>
    <phoneticPr fontId="1" type="noConversion"/>
  </si>
  <si>
    <t>圣奥·潮映望月府</t>
    <phoneticPr fontId="1" type="noConversion"/>
  </si>
  <si>
    <t>兴耀·沐芳洲</t>
    <phoneticPr fontId="1" type="noConversion"/>
  </si>
  <si>
    <t>驭远&amp;杰立·久映颂月</t>
    <phoneticPr fontId="1" type="noConversion"/>
  </si>
  <si>
    <t>祥生·江山云樾府</t>
    <phoneticPr fontId="1" type="noConversion"/>
  </si>
  <si>
    <t>高层</t>
    <phoneticPr fontId="1" type="noConversion"/>
  </si>
  <si>
    <t>120、126、139、155、178</t>
    <phoneticPr fontId="1" type="noConversion"/>
  </si>
  <si>
    <t>建筑面积</t>
    <phoneticPr fontId="1" type="noConversion"/>
  </si>
  <si>
    <t>容积率</t>
    <phoneticPr fontId="1" type="noConversion"/>
  </si>
  <si>
    <t>楼幢</t>
    <phoneticPr fontId="1" type="noConversion"/>
  </si>
  <si>
    <t>层高</t>
    <phoneticPr fontId="1" type="noConversion"/>
  </si>
  <si>
    <t>3.05-3.1</t>
    <phoneticPr fontId="1" type="noConversion"/>
  </si>
  <si>
    <t>楼层</t>
    <phoneticPr fontId="1" type="noConversion"/>
  </si>
  <si>
    <t>16-24</t>
    <phoneticPr fontId="1" type="noConversion"/>
  </si>
  <si>
    <t>是</t>
    <phoneticPr fontId="1" type="noConversion"/>
  </si>
  <si>
    <t>是否泳池会</t>
    <phoneticPr fontId="1" type="noConversion"/>
  </si>
  <si>
    <t>加推套数</t>
    <phoneticPr fontId="1" type="noConversion"/>
  </si>
  <si>
    <t>在售</t>
    <phoneticPr fontId="1" type="noConversion"/>
  </si>
  <si>
    <t>否</t>
    <phoneticPr fontId="1" type="noConversion"/>
  </si>
  <si>
    <t>可售套数</t>
    <phoneticPr fontId="1" type="noConversion"/>
  </si>
  <si>
    <t>最新加推时间</t>
    <phoneticPr fontId="1" type="noConversion"/>
  </si>
  <si>
    <t>高层+联排</t>
    <phoneticPr fontId="1" type="noConversion"/>
  </si>
  <si>
    <t>高低配</t>
    <phoneticPr fontId="1" type="noConversion"/>
  </si>
  <si>
    <t>排屋单价</t>
    <phoneticPr fontId="1" type="noConversion"/>
  </si>
  <si>
    <t>高层129、139、169；
排屋299、335、400</t>
    <phoneticPr fontId="1" type="noConversion"/>
  </si>
  <si>
    <t>14-17</t>
    <phoneticPr fontId="1" type="noConversion"/>
  </si>
  <si>
    <t>毛坯</t>
    <phoneticPr fontId="1" type="noConversion"/>
  </si>
  <si>
    <t>低密</t>
    <phoneticPr fontId="1" type="noConversion"/>
  </si>
  <si>
    <t>楼面价</t>
    <phoneticPr fontId="1" type="noConversion"/>
  </si>
  <si>
    <t>精装+毛坯</t>
    <phoneticPr fontId="1" type="noConversion"/>
  </si>
  <si>
    <t>高沙路</t>
    <phoneticPr fontId="1" type="noConversion"/>
  </si>
  <si>
    <t>兴耀·青森</t>
    <phoneticPr fontId="1" type="noConversion"/>
  </si>
  <si>
    <t>高层+排屋</t>
    <phoneticPr fontId="1" type="noConversion"/>
  </si>
  <si>
    <t>127、135、138；
排屋302、306</t>
    <phoneticPr fontId="1" type="noConversion"/>
  </si>
  <si>
    <t>联排280-360；
排屋285、315、365</t>
    <phoneticPr fontId="1" type="noConversion"/>
  </si>
  <si>
    <t>106/112/133/135/139/169</t>
    <phoneticPr fontId="1" type="noConversion"/>
  </si>
  <si>
    <t>2高1排</t>
    <phoneticPr fontId="1" type="noConversion"/>
  </si>
  <si>
    <t>10高8联</t>
    <phoneticPr fontId="1" type="noConversion"/>
  </si>
  <si>
    <t>6小高2叠</t>
    <phoneticPr fontId="1" type="noConversion"/>
  </si>
  <si>
    <t>小高+叠排</t>
    <phoneticPr fontId="1" type="noConversion"/>
  </si>
  <si>
    <t>100-139-166</t>
    <phoneticPr fontId="1" type="noConversion"/>
  </si>
  <si>
    <t>待售</t>
    <phoneticPr fontId="1" type="noConversion"/>
  </si>
  <si>
    <t>建杭滨江钱投·潮映杭园</t>
    <phoneticPr fontId="1" type="noConversion"/>
  </si>
  <si>
    <t>105、109、110、127、130、139</t>
    <phoneticPr fontId="1" type="noConversion"/>
  </si>
  <si>
    <t>高层+洋房+排屋</t>
    <phoneticPr fontId="1" type="noConversion"/>
  </si>
  <si>
    <t>3.5-5.6</t>
    <phoneticPr fontId="1" type="noConversion"/>
  </si>
  <si>
    <t>29高层、洋房、排屋</t>
    <phoneticPr fontId="1" type="noConversion"/>
  </si>
  <si>
    <t>洋房+叠排+排屋</t>
    <phoneticPr fontId="1" type="noConversion"/>
  </si>
  <si>
    <t>洋108、149；叠排208、213、220；联排；251、274、282、333</t>
    <phoneticPr fontId="1" type="noConversion"/>
  </si>
  <si>
    <t>高层总价段（最低）</t>
    <phoneticPr fontId="1" type="noConversion"/>
  </si>
  <si>
    <t>高层总价段（最高）</t>
    <phoneticPr fontId="1" type="noConversion"/>
  </si>
  <si>
    <t>高层面积段（最低）</t>
    <phoneticPr fontId="1" type="noConversion"/>
  </si>
  <si>
    <t>高层面积段（最高）</t>
    <phoneticPr fontId="1" type="noConversion"/>
  </si>
  <si>
    <t>3.95-9</t>
    <phoneticPr fontId="1" type="noConversion"/>
  </si>
  <si>
    <t>99、120、130</t>
    <phoneticPr fontId="1" type="noConversion"/>
  </si>
  <si>
    <t>16-26</t>
    <phoneticPr fontId="1" type="noConversion"/>
  </si>
  <si>
    <t>14-26</t>
    <phoneticPr fontId="1" type="noConversion"/>
  </si>
  <si>
    <t>3-3.15</t>
    <phoneticPr fontId="1" type="noConversion"/>
  </si>
  <si>
    <t>89、95、103、118、115、132</t>
    <phoneticPr fontId="1" type="noConversion"/>
  </si>
  <si>
    <t>18-26</t>
    <phoneticPr fontId="1" type="noConversion"/>
  </si>
  <si>
    <t>88、98、118、128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</si>
</sst>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58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21"/>
  <sheetViews>
    <sheetView tabSelected="1" zoomScale="130" zoomScaleNormal="130" workbookViewId="0">
      <selection activeCell="D14" sqref="D14"/>
    </sheetView>
  </sheetViews>
  <sheetFormatPr defaultColWidth="9" defaultRowHeight="13.5" x14ac:dyDescent="0.15"/>
  <cols>
    <col min="2" max="2" width="5.25" style="4" bestFit="1" customWidth="1"/>
    <col min="3" max="3" width="21.375" style="4" bestFit="1" customWidth="1"/>
    <col min="4" max="5" width="11.375" style="4" customWidth="1"/>
    <col min="6" max="6" width="11.625" style="4" customWidth="1"/>
    <col min="7" max="7" width="7.125" style="4" bestFit="1" customWidth="1"/>
    <col min="8" max="9" width="9" style="4"/>
    <col min="10" max="10" width="11" style="4" bestFit="1" customWidth="1"/>
    <col min="11" max="13" width="9" style="4"/>
    <col min="15" max="15" width="25.5" style="16" bestFit="1" customWidth="1"/>
    <col min="16" max="16" width="15.125" style="4" customWidth="1"/>
    <col min="17" max="19" width="15.125" style="4" bestFit="1" customWidth="1"/>
    <col min="20" max="20" width="14.625" style="4" bestFit="1" customWidth="1"/>
    <col min="21" max="21" width="15.625" style="4" bestFit="1" customWidth="1"/>
    <col min="22" max="22" width="15.625" style="4" customWidth="1"/>
    <col min="23" max="23" width="9" style="4"/>
    <col min="24" max="24" width="14.625" style="4" bestFit="1" customWidth="1"/>
    <col min="25" max="25" width="9" style="4" bestFit="1" customWidth="1"/>
    <col min="26" max="26" width="15.125" style="4" customWidth="1"/>
    <col min="27" max="29" width="9" style="4"/>
    <col min="30" max="30" width="10.5" style="4" bestFit="1" customWidth="1"/>
    <col min="31" max="31" width="9" style="4"/>
    <col min="32" max="32" width="17.25" style="4" bestFit="1" customWidth="1"/>
    <col min="33" max="34" width="9" style="4"/>
    <col min="35" max="35" width="15.125" style="4" customWidth="1"/>
  </cols>
  <sheetData>
    <row r="1" spans="2:39" x14ac:dyDescent="0.15">
      <c r="R1" s="4">
        <f>10000</f>
        <v>10000</v>
      </c>
    </row>
    <row r="3" spans="2:39" x14ac:dyDescent="0.15">
      <c r="B3" s="2" t="s">
        <v>2</v>
      </c>
      <c r="C3" s="2" t="s">
        <v>0</v>
      </c>
      <c r="D3" s="2" t="s">
        <v>3</v>
      </c>
      <c r="E3" s="2" t="s">
        <v>1</v>
      </c>
      <c r="F3" s="2" t="s">
        <v>24</v>
      </c>
      <c r="G3" s="9" t="s">
        <v>4</v>
      </c>
      <c r="H3" s="9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61</v>
      </c>
      <c r="N3" s="13" t="s">
        <v>17</v>
      </c>
      <c r="O3" s="17" t="s">
        <v>10</v>
      </c>
      <c r="P3" s="13" t="s">
        <v>89</v>
      </c>
      <c r="Q3" s="13" t="s">
        <v>90</v>
      </c>
      <c r="R3" s="13" t="s">
        <v>87</v>
      </c>
      <c r="S3" s="13" t="s">
        <v>88</v>
      </c>
      <c r="T3" s="7" t="s">
        <v>11</v>
      </c>
      <c r="U3" s="7" t="s">
        <v>12</v>
      </c>
      <c r="V3" s="7" t="s">
        <v>58</v>
      </c>
      <c r="W3" s="7" t="s">
        <v>13</v>
      </c>
      <c r="X3" s="7" t="s">
        <v>14</v>
      </c>
      <c r="Y3" s="5" t="s">
        <v>57</v>
      </c>
      <c r="Z3" s="5" t="s">
        <v>54</v>
      </c>
      <c r="AA3" s="5" t="s">
        <v>15</v>
      </c>
      <c r="AB3" s="5" t="s">
        <v>16</v>
      </c>
      <c r="AC3" s="5" t="s">
        <v>18</v>
      </c>
      <c r="AD3" s="5" t="s">
        <v>45</v>
      </c>
      <c r="AE3" s="5" t="s">
        <v>46</v>
      </c>
      <c r="AF3" s="5" t="s">
        <v>47</v>
      </c>
      <c r="AG3" s="5" t="s">
        <v>50</v>
      </c>
      <c r="AH3" s="5" t="s">
        <v>48</v>
      </c>
      <c r="AI3" s="13" t="s">
        <v>66</v>
      </c>
      <c r="AJ3" s="13" t="s">
        <v>20</v>
      </c>
      <c r="AK3" s="13" t="s">
        <v>53</v>
      </c>
      <c r="AL3" s="13" t="s">
        <v>21</v>
      </c>
      <c r="AM3" s="13" t="s">
        <v>19</v>
      </c>
    </row>
    <row r="4" spans="2:39" ht="27" x14ac:dyDescent="0.15">
      <c r="B4" s="3">
        <v>1</v>
      </c>
      <c r="C4" s="2" t="s">
        <v>36</v>
      </c>
      <c r="D4" s="2" t="s">
        <v>25</v>
      </c>
      <c r="E4" s="2" t="s">
        <v>22</v>
      </c>
      <c r="F4" s="2" t="s">
        <v>23</v>
      </c>
      <c r="G4" s="9" t="s">
        <v>60</v>
      </c>
      <c r="H4" s="9" t="s">
        <v>59</v>
      </c>
      <c r="I4" s="12">
        <v>38358</v>
      </c>
      <c r="J4" s="12"/>
      <c r="K4" s="12"/>
      <c r="L4" s="12"/>
      <c r="M4" s="12">
        <v>66484</v>
      </c>
      <c r="N4" s="2" t="s">
        <v>67</v>
      </c>
      <c r="O4" s="17" t="s">
        <v>62</v>
      </c>
      <c r="P4" s="14">
        <v>129</v>
      </c>
      <c r="Q4" s="14">
        <v>169</v>
      </c>
      <c r="R4" s="24">
        <f>(P4*I4)/(10000)</f>
        <v>494.81819999999999</v>
      </c>
      <c r="S4" s="24">
        <f>(Q4*I4)/(10000)</f>
        <v>648.25019999999995</v>
      </c>
      <c r="T4" s="25">
        <v>45681</v>
      </c>
      <c r="U4" s="25">
        <v>45837</v>
      </c>
      <c r="V4" s="25">
        <v>45982</v>
      </c>
      <c r="W4" s="25"/>
      <c r="X4" s="25">
        <v>46548</v>
      </c>
      <c r="Y4" s="26">
        <v>482</v>
      </c>
      <c r="Z4" s="26">
        <v>482</v>
      </c>
      <c r="AA4" s="26">
        <v>468</v>
      </c>
      <c r="AB4" s="26">
        <f>Y4-AA4</f>
        <v>14</v>
      </c>
      <c r="AC4" s="27" t="s">
        <v>55</v>
      </c>
      <c r="AD4" s="21">
        <f>128548.44/(10000)</f>
        <v>12.854844</v>
      </c>
      <c r="AE4" s="26">
        <v>2.1</v>
      </c>
      <c r="AF4" s="27" t="s">
        <v>75</v>
      </c>
      <c r="AG4" s="28" t="s">
        <v>63</v>
      </c>
      <c r="AH4" s="27" t="s">
        <v>49</v>
      </c>
      <c r="AI4" s="39">
        <v>23444</v>
      </c>
      <c r="AJ4" s="29" t="s">
        <v>56</v>
      </c>
      <c r="AK4" s="29" t="s">
        <v>52</v>
      </c>
      <c r="AL4" s="30">
        <v>4.8</v>
      </c>
      <c r="AM4" s="29" t="s">
        <v>56</v>
      </c>
    </row>
    <row r="5" spans="2:39" ht="30.75" customHeight="1" x14ac:dyDescent="0.15">
      <c r="B5" s="3">
        <v>2</v>
      </c>
      <c r="C5" s="2" t="s">
        <v>26</v>
      </c>
      <c r="D5" s="2" t="s">
        <v>25</v>
      </c>
      <c r="E5" s="2" t="s">
        <v>22</v>
      </c>
      <c r="F5" s="2" t="s">
        <v>23</v>
      </c>
      <c r="G5" s="9" t="s">
        <v>43</v>
      </c>
      <c r="H5" s="9" t="s">
        <v>43</v>
      </c>
      <c r="I5" s="12">
        <v>38200</v>
      </c>
      <c r="J5" s="12"/>
      <c r="K5" s="12"/>
      <c r="L5" s="12"/>
      <c r="M5" s="12"/>
      <c r="N5" s="3"/>
      <c r="O5" s="17" t="s">
        <v>44</v>
      </c>
      <c r="P5" s="13">
        <v>120</v>
      </c>
      <c r="Q5" s="14">
        <v>178</v>
      </c>
      <c r="R5" s="20">
        <f>(P5*I5)/(10000)</f>
        <v>458.4</v>
      </c>
      <c r="S5" s="20">
        <f>(Q5*I5)/(10000)</f>
        <v>679.96</v>
      </c>
      <c r="T5" s="19">
        <v>45853</v>
      </c>
      <c r="U5" s="19">
        <v>46013</v>
      </c>
      <c r="V5" s="19">
        <v>46132</v>
      </c>
      <c r="W5" s="19"/>
      <c r="X5" s="19">
        <v>46675</v>
      </c>
      <c r="Y5" s="6">
        <v>432</v>
      </c>
      <c r="Z5" s="6">
        <v>432</v>
      </c>
      <c r="AA5" s="6">
        <v>410</v>
      </c>
      <c r="AB5" s="6">
        <f>Y5-AA5</f>
        <v>22</v>
      </c>
      <c r="AC5" s="5" t="s">
        <v>55</v>
      </c>
      <c r="AD5" s="31">
        <f>105831.28/(10000)</f>
        <v>10.583128</v>
      </c>
      <c r="AE5" s="6">
        <v>2.2999999999999998</v>
      </c>
      <c r="AF5" s="5">
        <v>9</v>
      </c>
      <c r="AG5" s="5" t="s">
        <v>51</v>
      </c>
      <c r="AH5" s="5" t="s">
        <v>49</v>
      </c>
      <c r="AI5" s="40">
        <v>16463</v>
      </c>
      <c r="AJ5" s="2" t="s">
        <v>52</v>
      </c>
      <c r="AK5" s="2" t="s">
        <v>52</v>
      </c>
      <c r="AL5" s="3">
        <v>5.6</v>
      </c>
      <c r="AM5" s="2" t="s">
        <v>56</v>
      </c>
    </row>
    <row r="6" spans="2:39" ht="27" x14ac:dyDescent="0.15">
      <c r="B6" s="3">
        <v>3</v>
      </c>
      <c r="C6" s="2" t="s">
        <v>41</v>
      </c>
      <c r="D6" s="2" t="s">
        <v>25</v>
      </c>
      <c r="E6" s="2" t="s">
        <v>22</v>
      </c>
      <c r="F6" s="2" t="s">
        <v>23</v>
      </c>
      <c r="G6" s="9" t="s">
        <v>65</v>
      </c>
      <c r="H6" s="9" t="s">
        <v>27</v>
      </c>
      <c r="I6" s="12"/>
      <c r="J6" s="12"/>
      <c r="K6" s="12"/>
      <c r="L6" s="12"/>
      <c r="M6" s="12">
        <v>72004</v>
      </c>
      <c r="N6" s="2" t="s">
        <v>64</v>
      </c>
      <c r="O6" s="17" t="s">
        <v>72</v>
      </c>
      <c r="P6" s="14">
        <v>285</v>
      </c>
      <c r="Q6" s="14">
        <v>365</v>
      </c>
      <c r="R6" s="20">
        <f>(P6*M6)/(10000)</f>
        <v>2052.114</v>
      </c>
      <c r="S6" s="20">
        <f>(Q6*M6)/(10000)</f>
        <v>2628.1460000000002</v>
      </c>
      <c r="T6" s="19">
        <v>45317</v>
      </c>
      <c r="U6" s="19">
        <v>45966</v>
      </c>
      <c r="V6" s="19">
        <v>45746</v>
      </c>
      <c r="W6" s="8"/>
      <c r="X6" s="19">
        <v>46387</v>
      </c>
      <c r="Y6" s="6">
        <v>36</v>
      </c>
      <c r="Z6" s="6">
        <v>36</v>
      </c>
      <c r="AA6" s="6">
        <v>6</v>
      </c>
      <c r="AB6" s="6">
        <f t="shared" ref="AB6:AB21" si="0">Y6-AA6</f>
        <v>30</v>
      </c>
      <c r="AC6" s="5" t="s">
        <v>55</v>
      </c>
      <c r="AD6" s="31">
        <f>11901/(10000)</f>
        <v>1.1900999999999999</v>
      </c>
      <c r="AE6" s="6">
        <v>1.2</v>
      </c>
      <c r="AF6" s="6">
        <v>8</v>
      </c>
      <c r="AG6" s="6">
        <v>4</v>
      </c>
      <c r="AH6" s="6"/>
      <c r="AI6" s="40">
        <v>31623</v>
      </c>
      <c r="AJ6" s="2" t="s">
        <v>56</v>
      </c>
      <c r="AK6" s="2" t="s">
        <v>56</v>
      </c>
      <c r="AL6" s="2">
        <v>9.9</v>
      </c>
      <c r="AM6" s="2" t="s">
        <v>56</v>
      </c>
    </row>
    <row r="7" spans="2:39" x14ac:dyDescent="0.15">
      <c r="B7" s="3">
        <v>5</v>
      </c>
      <c r="C7" s="2" t="s">
        <v>33</v>
      </c>
      <c r="D7" s="2" t="s">
        <v>25</v>
      </c>
      <c r="E7" s="2" t="s">
        <v>22</v>
      </c>
      <c r="F7" s="2" t="s">
        <v>68</v>
      </c>
      <c r="G7" s="9" t="s">
        <v>43</v>
      </c>
      <c r="H7" s="9" t="s">
        <v>43</v>
      </c>
      <c r="I7" s="12">
        <v>38300</v>
      </c>
      <c r="J7" s="12"/>
      <c r="K7" s="12"/>
      <c r="L7" s="12"/>
      <c r="M7" s="12"/>
      <c r="N7" s="3"/>
      <c r="O7" s="17" t="s">
        <v>73</v>
      </c>
      <c r="P7" s="14">
        <v>106</v>
      </c>
      <c r="Q7" s="14">
        <v>169</v>
      </c>
      <c r="R7" s="20">
        <f>(P7*I7)/(10000)</f>
        <v>405.98</v>
      </c>
      <c r="S7" s="20">
        <f>(Q7*I7)/(10000)</f>
        <v>647.27</v>
      </c>
      <c r="T7" s="38">
        <v>44742</v>
      </c>
      <c r="U7" s="19">
        <v>45157</v>
      </c>
      <c r="V7" s="19">
        <v>45265</v>
      </c>
      <c r="W7" s="8"/>
      <c r="X7" s="38">
        <v>46053</v>
      </c>
      <c r="Y7" s="6">
        <v>471</v>
      </c>
      <c r="Z7" s="6">
        <v>471</v>
      </c>
      <c r="AA7" s="6"/>
      <c r="AB7" s="6">
        <f t="shared" si="0"/>
        <v>471</v>
      </c>
      <c r="AC7" s="5" t="s">
        <v>55</v>
      </c>
      <c r="AD7" s="31">
        <f>65825/(10000)</f>
        <v>6.5824999999999996</v>
      </c>
      <c r="AE7" s="6">
        <v>2.5</v>
      </c>
      <c r="AF7" s="6">
        <v>11</v>
      </c>
      <c r="AG7" s="6">
        <v>14</v>
      </c>
      <c r="AH7" s="6">
        <v>3</v>
      </c>
      <c r="AI7" s="40">
        <v>21508</v>
      </c>
      <c r="AJ7" s="2" t="s">
        <v>56</v>
      </c>
      <c r="AK7" s="2" t="s">
        <v>56</v>
      </c>
      <c r="AL7" s="3">
        <v>3.95</v>
      </c>
      <c r="AM7" s="37" t="s">
        <v>52</v>
      </c>
    </row>
    <row r="8" spans="2:39" ht="27" x14ac:dyDescent="0.15">
      <c r="B8" s="3">
        <v>6</v>
      </c>
      <c r="C8" s="2" t="s">
        <v>69</v>
      </c>
      <c r="D8" s="2" t="s">
        <v>25</v>
      </c>
      <c r="E8" s="2" t="s">
        <v>22</v>
      </c>
      <c r="F8" s="2" t="s">
        <v>68</v>
      </c>
      <c r="G8" s="9" t="s">
        <v>60</v>
      </c>
      <c r="H8" s="9" t="s">
        <v>70</v>
      </c>
      <c r="I8" s="12">
        <v>35499</v>
      </c>
      <c r="J8" s="12"/>
      <c r="K8" s="12"/>
      <c r="L8" s="12"/>
      <c r="M8" s="12">
        <v>57110</v>
      </c>
      <c r="N8" s="2" t="s">
        <v>67</v>
      </c>
      <c r="O8" s="17" t="s">
        <v>71</v>
      </c>
      <c r="P8" s="14">
        <v>127</v>
      </c>
      <c r="Q8" s="14">
        <v>138</v>
      </c>
      <c r="R8" s="20">
        <f>(P8*M8)/(10000)</f>
        <v>725.29700000000003</v>
      </c>
      <c r="S8" s="20">
        <f>(Q8*M8)/(10000)</f>
        <v>788.11800000000005</v>
      </c>
      <c r="T8" s="19">
        <v>45734</v>
      </c>
      <c r="U8" s="19">
        <v>45920</v>
      </c>
      <c r="V8" s="19">
        <v>45963</v>
      </c>
      <c r="W8" s="8"/>
      <c r="X8" s="8"/>
      <c r="Y8" s="6">
        <v>114</v>
      </c>
      <c r="Z8" s="6">
        <v>114</v>
      </c>
      <c r="AA8" s="6">
        <v>113</v>
      </c>
      <c r="AB8" s="6">
        <f t="shared" si="0"/>
        <v>1</v>
      </c>
      <c r="AC8" s="5" t="s">
        <v>55</v>
      </c>
      <c r="AD8" s="31">
        <f>24680/(10000)</f>
        <v>2.468</v>
      </c>
      <c r="AE8" s="6">
        <v>2</v>
      </c>
      <c r="AF8" s="5" t="s">
        <v>74</v>
      </c>
      <c r="AG8" s="6">
        <v>17</v>
      </c>
      <c r="AH8" s="6">
        <v>3</v>
      </c>
      <c r="AI8" s="40">
        <v>20472</v>
      </c>
      <c r="AJ8" s="2" t="s">
        <v>56</v>
      </c>
      <c r="AK8" s="2" t="s">
        <v>56</v>
      </c>
      <c r="AL8" s="3">
        <v>5.5</v>
      </c>
      <c r="AM8" s="2" t="s">
        <v>56</v>
      </c>
    </row>
    <row r="9" spans="2:39" x14ac:dyDescent="0.15">
      <c r="B9" s="3">
        <v>7</v>
      </c>
      <c r="C9" s="22" t="s">
        <v>35</v>
      </c>
      <c r="D9" s="2" t="s">
        <v>25</v>
      </c>
      <c r="E9" s="2" t="s">
        <v>22</v>
      </c>
      <c r="F9" s="2" t="s">
        <v>68</v>
      </c>
      <c r="G9" s="9" t="s">
        <v>60</v>
      </c>
      <c r="H9" s="9" t="s">
        <v>77</v>
      </c>
      <c r="I9" s="12"/>
      <c r="J9" s="12"/>
      <c r="K9" s="12"/>
      <c r="L9" s="12"/>
      <c r="M9" s="12"/>
      <c r="N9" s="3"/>
      <c r="O9" s="18"/>
      <c r="P9" s="14"/>
      <c r="Q9" s="14"/>
      <c r="R9" s="20">
        <f t="shared" ref="R9:R21" si="1">(P9*M9)/(10000)</f>
        <v>0</v>
      </c>
      <c r="S9" s="20">
        <f t="shared" ref="S9:S21" si="2">(Q9*M9)/(10000)</f>
        <v>0</v>
      </c>
      <c r="T9" s="8"/>
      <c r="U9" s="8"/>
      <c r="V9" s="8"/>
      <c r="W9" s="8"/>
      <c r="X9" s="8"/>
      <c r="Y9" s="6"/>
      <c r="Z9" s="6"/>
      <c r="AA9" s="6"/>
      <c r="AB9" s="6">
        <f t="shared" si="0"/>
        <v>0</v>
      </c>
      <c r="AC9" s="5" t="s">
        <v>79</v>
      </c>
      <c r="AD9" s="31">
        <f>31109.6/(10000)</f>
        <v>3.1109599999999999</v>
      </c>
      <c r="AE9" s="6">
        <v>1.48</v>
      </c>
      <c r="AF9" s="5" t="s">
        <v>76</v>
      </c>
      <c r="AG9" s="6">
        <v>10</v>
      </c>
      <c r="AH9" s="6">
        <v>3.05</v>
      </c>
      <c r="AI9" s="40">
        <v>16514</v>
      </c>
      <c r="AJ9" s="2" t="s">
        <v>56</v>
      </c>
      <c r="AK9" s="2" t="s">
        <v>56</v>
      </c>
      <c r="AL9" s="3"/>
      <c r="AM9" s="2" t="s">
        <v>56</v>
      </c>
    </row>
    <row r="10" spans="2:39" x14ac:dyDescent="0.15">
      <c r="B10" s="3">
        <v>8</v>
      </c>
      <c r="C10" s="23" t="s">
        <v>34</v>
      </c>
      <c r="D10" s="23" t="s">
        <v>25</v>
      </c>
      <c r="E10" s="23" t="s">
        <v>22</v>
      </c>
      <c r="F10" s="23" t="s">
        <v>68</v>
      </c>
      <c r="G10" s="23"/>
      <c r="H10" s="23"/>
      <c r="I10" s="23"/>
      <c r="J10" s="23"/>
      <c r="K10" s="23"/>
      <c r="L10" s="23"/>
      <c r="M10" s="23"/>
      <c r="N10" s="23"/>
      <c r="O10" s="32"/>
      <c r="P10" s="23"/>
      <c r="Q10" s="23"/>
      <c r="R10" s="33">
        <f t="shared" si="1"/>
        <v>0</v>
      </c>
      <c r="S10" s="33">
        <f t="shared" si="2"/>
        <v>0</v>
      </c>
      <c r="T10" s="23"/>
      <c r="U10" s="23"/>
      <c r="V10" s="23"/>
      <c r="W10" s="23"/>
      <c r="X10" s="23"/>
      <c r="Y10" s="23"/>
      <c r="Z10" s="23"/>
      <c r="AA10" s="23"/>
      <c r="AB10" s="23">
        <f t="shared" si="0"/>
        <v>0</v>
      </c>
      <c r="AC10" s="23" t="s">
        <v>79</v>
      </c>
      <c r="AD10" s="34">
        <f t="shared" ref="AD10:AD21" si="3">24680/(10000)</f>
        <v>2.468</v>
      </c>
      <c r="AE10" s="23"/>
      <c r="AF10" s="23"/>
      <c r="AG10" s="23"/>
      <c r="AH10" s="23"/>
      <c r="AI10" s="41"/>
      <c r="AJ10" s="23"/>
      <c r="AK10" s="23"/>
      <c r="AL10" s="23"/>
      <c r="AM10" s="23" t="s">
        <v>56</v>
      </c>
    </row>
    <row r="11" spans="2:39" x14ac:dyDescent="0.15">
      <c r="B11" s="3">
        <v>9</v>
      </c>
      <c r="C11" s="22" t="s">
        <v>29</v>
      </c>
      <c r="D11" s="2" t="s">
        <v>25</v>
      </c>
      <c r="E11" s="2" t="s">
        <v>22</v>
      </c>
      <c r="F11" s="2" t="s">
        <v>28</v>
      </c>
      <c r="G11" s="9" t="s">
        <v>43</v>
      </c>
      <c r="H11" s="9" t="s">
        <v>43</v>
      </c>
      <c r="I11" s="12"/>
      <c r="J11" s="12"/>
      <c r="K11" s="12"/>
      <c r="L11" s="12"/>
      <c r="M11" s="12"/>
      <c r="N11" s="3"/>
      <c r="O11" s="17" t="s">
        <v>78</v>
      </c>
      <c r="P11" s="14"/>
      <c r="Q11" s="14"/>
      <c r="R11" s="20">
        <f t="shared" si="1"/>
        <v>0</v>
      </c>
      <c r="S11" s="20">
        <f t="shared" si="2"/>
        <v>0</v>
      </c>
      <c r="T11" s="19">
        <v>46120</v>
      </c>
      <c r="U11" s="8"/>
      <c r="V11" s="8"/>
      <c r="W11" s="8"/>
      <c r="X11" s="36">
        <v>47207</v>
      </c>
      <c r="Y11" s="6">
        <v>711</v>
      </c>
      <c r="Z11" s="6"/>
      <c r="AA11" s="6"/>
      <c r="AB11" s="6">
        <f t="shared" si="0"/>
        <v>711</v>
      </c>
      <c r="AC11" s="5" t="s">
        <v>79</v>
      </c>
      <c r="AD11" s="31">
        <f>155483.32/(10000)</f>
        <v>15.548332</v>
      </c>
      <c r="AE11" s="6">
        <v>2.14</v>
      </c>
      <c r="AF11" s="5" t="s">
        <v>43</v>
      </c>
      <c r="AG11" s="6">
        <v>10</v>
      </c>
      <c r="AH11" s="6">
        <v>3</v>
      </c>
      <c r="AI11" s="40">
        <v>13396</v>
      </c>
      <c r="AJ11" s="2" t="s">
        <v>56</v>
      </c>
      <c r="AK11" s="2" t="s">
        <v>52</v>
      </c>
      <c r="AL11" s="3">
        <v>4.2</v>
      </c>
      <c r="AM11" s="2" t="s">
        <v>56</v>
      </c>
    </row>
    <row r="12" spans="2:39" ht="27" x14ac:dyDescent="0.15">
      <c r="B12" s="3">
        <v>10</v>
      </c>
      <c r="C12" s="2" t="s">
        <v>80</v>
      </c>
      <c r="D12" s="2" t="s">
        <v>25</v>
      </c>
      <c r="E12" s="2" t="s">
        <v>22</v>
      </c>
      <c r="F12" s="2" t="s">
        <v>28</v>
      </c>
      <c r="G12" s="9" t="s">
        <v>60</v>
      </c>
      <c r="H12" s="9" t="s">
        <v>82</v>
      </c>
      <c r="I12" s="12">
        <v>27441</v>
      </c>
      <c r="J12" s="12"/>
      <c r="K12" s="12">
        <v>30896</v>
      </c>
      <c r="L12" s="12"/>
      <c r="M12" s="12"/>
      <c r="N12" s="3"/>
      <c r="O12" s="17" t="s">
        <v>81</v>
      </c>
      <c r="P12" s="14">
        <v>105</v>
      </c>
      <c r="Q12" s="14">
        <v>139</v>
      </c>
      <c r="R12" s="20">
        <f>(P12*I12)/(10000)</f>
        <v>288.13049999999998</v>
      </c>
      <c r="S12" s="20">
        <f>(Q12*K12)/(10000)</f>
        <v>429.45440000000002</v>
      </c>
      <c r="T12" s="19">
        <v>45775</v>
      </c>
      <c r="U12" s="19">
        <v>45995</v>
      </c>
      <c r="V12" s="19">
        <v>46187</v>
      </c>
      <c r="W12" s="8"/>
      <c r="X12" s="19">
        <v>46752</v>
      </c>
      <c r="Y12" s="6">
        <v>649</v>
      </c>
      <c r="Z12" s="6">
        <v>479</v>
      </c>
      <c r="AA12" s="6">
        <v>189</v>
      </c>
      <c r="AB12" s="6">
        <f t="shared" si="0"/>
        <v>460</v>
      </c>
      <c r="AC12" s="5" t="s">
        <v>55</v>
      </c>
      <c r="AD12" s="31">
        <f>147554/(10000)</f>
        <v>14.7554</v>
      </c>
      <c r="AE12" s="6">
        <v>1.4</v>
      </c>
      <c r="AF12" s="5" t="s">
        <v>84</v>
      </c>
      <c r="AG12" s="6">
        <v>17</v>
      </c>
      <c r="AH12" s="6">
        <v>3</v>
      </c>
      <c r="AI12" s="40">
        <v>15001</v>
      </c>
      <c r="AJ12" s="2" t="s">
        <v>56</v>
      </c>
      <c r="AK12" s="2" t="s">
        <v>52</v>
      </c>
      <c r="AL12" s="2" t="s">
        <v>83</v>
      </c>
      <c r="AM12" s="2" t="s">
        <v>56</v>
      </c>
    </row>
    <row r="13" spans="2:39" ht="40.5" x14ac:dyDescent="0.15">
      <c r="B13" s="3">
        <v>11</v>
      </c>
      <c r="C13" s="2" t="s">
        <v>30</v>
      </c>
      <c r="D13" s="2" t="s">
        <v>25</v>
      </c>
      <c r="E13" s="2" t="s">
        <v>22</v>
      </c>
      <c r="F13" s="2" t="s">
        <v>28</v>
      </c>
      <c r="G13" s="9" t="s">
        <v>65</v>
      </c>
      <c r="H13" s="9" t="s">
        <v>85</v>
      </c>
      <c r="I13" s="11"/>
      <c r="J13" s="12"/>
      <c r="K13" s="12">
        <v>30977</v>
      </c>
      <c r="L13" s="12">
        <v>38350</v>
      </c>
      <c r="M13" s="12">
        <v>58507</v>
      </c>
      <c r="N13" s="3"/>
      <c r="O13" s="17" t="s">
        <v>86</v>
      </c>
      <c r="P13" s="14">
        <v>108</v>
      </c>
      <c r="Q13" s="14">
        <v>149</v>
      </c>
      <c r="R13" s="20">
        <f>(P13*K13)/(10000)</f>
        <v>334.55160000000001</v>
      </c>
      <c r="S13" s="20">
        <f>(Q13*K13)/(10000)</f>
        <v>461.5573</v>
      </c>
      <c r="T13" s="19">
        <v>45790</v>
      </c>
      <c r="U13" s="19">
        <v>46006</v>
      </c>
      <c r="V13" s="19">
        <v>46180</v>
      </c>
      <c r="W13" s="8"/>
      <c r="X13" s="8"/>
      <c r="Y13" s="6">
        <v>571</v>
      </c>
      <c r="Z13" s="6">
        <v>420</v>
      </c>
      <c r="AA13" s="6">
        <v>165</v>
      </c>
      <c r="AB13" s="6">
        <f t="shared" si="0"/>
        <v>406</v>
      </c>
      <c r="AC13" s="5" t="s">
        <v>55</v>
      </c>
      <c r="AD13" s="31">
        <f>196563/(10000)</f>
        <v>19.656300000000002</v>
      </c>
      <c r="AE13" s="6">
        <v>1.08</v>
      </c>
      <c r="AF13" s="6">
        <v>41</v>
      </c>
      <c r="AG13" s="6">
        <v>18</v>
      </c>
      <c r="AH13" s="6">
        <v>3</v>
      </c>
      <c r="AI13" s="40">
        <v>17255</v>
      </c>
      <c r="AJ13" s="2" t="s">
        <v>56</v>
      </c>
      <c r="AK13" s="2" t="s">
        <v>52</v>
      </c>
      <c r="AL13" s="2" t="s">
        <v>91</v>
      </c>
      <c r="AM13" s="2" t="s">
        <v>56</v>
      </c>
    </row>
    <row r="14" spans="2:39" x14ac:dyDescent="0.15">
      <c r="B14" s="3">
        <v>12</v>
      </c>
      <c r="C14" s="15" t="s">
        <v>31</v>
      </c>
      <c r="D14" s="2" t="s">
        <v>25</v>
      </c>
      <c r="E14" s="2" t="s">
        <v>22</v>
      </c>
      <c r="F14" s="2" t="s">
        <v>32</v>
      </c>
      <c r="G14" s="9" t="s">
        <v>43</v>
      </c>
      <c r="H14" s="9" t="s">
        <v>43</v>
      </c>
      <c r="I14" s="12">
        <v>27999</v>
      </c>
      <c r="J14" s="12"/>
      <c r="K14" s="12"/>
      <c r="L14" s="12"/>
      <c r="M14" s="12"/>
      <c r="N14" s="3"/>
      <c r="O14" s="17" t="s">
        <v>92</v>
      </c>
      <c r="P14" s="14">
        <v>99</v>
      </c>
      <c r="Q14" s="14">
        <v>130</v>
      </c>
      <c r="R14" s="20">
        <f>(P14*I14)/(10000)</f>
        <v>277.19009999999997</v>
      </c>
      <c r="S14" s="20">
        <f>(Q14*I14)/(10000)</f>
        <v>363.98700000000002</v>
      </c>
      <c r="T14" s="19">
        <v>45958</v>
      </c>
      <c r="U14" s="19">
        <v>45826</v>
      </c>
      <c r="V14" s="8"/>
      <c r="W14" s="8"/>
      <c r="X14" s="19">
        <v>46934</v>
      </c>
      <c r="Y14" s="6">
        <v>396</v>
      </c>
      <c r="Z14" s="6">
        <v>176</v>
      </c>
      <c r="AA14" s="6">
        <v>0</v>
      </c>
      <c r="AB14" s="6">
        <f t="shared" si="0"/>
        <v>396</v>
      </c>
      <c r="AC14" s="5" t="s">
        <v>55</v>
      </c>
      <c r="AD14" s="31">
        <f>69819.09/(10000)</f>
        <v>6.9819089999999999</v>
      </c>
      <c r="AE14" s="6">
        <v>2.2999999999999998</v>
      </c>
      <c r="AF14" s="6">
        <v>5</v>
      </c>
      <c r="AG14" s="6">
        <v>23</v>
      </c>
      <c r="AH14" s="6">
        <v>3</v>
      </c>
      <c r="AI14" s="40">
        <v>10500</v>
      </c>
      <c r="AJ14" s="2" t="s">
        <v>52</v>
      </c>
      <c r="AK14" s="35" t="s">
        <v>52</v>
      </c>
      <c r="AL14" s="3">
        <v>3.3</v>
      </c>
      <c r="AM14" s="2" t="s">
        <v>56</v>
      </c>
    </row>
    <row r="15" spans="2:39" x14ac:dyDescent="0.15">
      <c r="B15" s="3">
        <v>13</v>
      </c>
      <c r="C15" s="2" t="s">
        <v>39</v>
      </c>
      <c r="D15" s="2" t="s">
        <v>25</v>
      </c>
      <c r="E15" s="2" t="s">
        <v>22</v>
      </c>
      <c r="F15" s="2" t="s">
        <v>37</v>
      </c>
      <c r="G15" s="9" t="s">
        <v>43</v>
      </c>
      <c r="H15" s="9" t="s">
        <v>43</v>
      </c>
      <c r="I15" s="12">
        <v>27593</v>
      </c>
      <c r="J15" s="12"/>
      <c r="K15" s="12"/>
      <c r="L15" s="12"/>
      <c r="M15" s="12"/>
      <c r="N15" s="3"/>
      <c r="O15" s="17"/>
      <c r="P15" s="14">
        <v>89</v>
      </c>
      <c r="Q15" s="14">
        <v>132</v>
      </c>
      <c r="R15" s="20">
        <f t="shared" si="1"/>
        <v>0</v>
      </c>
      <c r="S15" s="20">
        <f t="shared" si="2"/>
        <v>0</v>
      </c>
      <c r="T15" s="38">
        <v>44819</v>
      </c>
      <c r="U15" s="19">
        <v>45197</v>
      </c>
      <c r="V15" s="19">
        <v>45802</v>
      </c>
      <c r="W15" s="8"/>
      <c r="X15" s="38">
        <v>46000</v>
      </c>
      <c r="Y15" s="6">
        <v>553</v>
      </c>
      <c r="Z15" s="6">
        <v>553</v>
      </c>
      <c r="AA15" s="6">
        <v>78</v>
      </c>
      <c r="AB15" s="6">
        <f t="shared" si="0"/>
        <v>475</v>
      </c>
      <c r="AC15" s="5" t="s">
        <v>55</v>
      </c>
      <c r="AD15" s="31">
        <f>93117/(10000)</f>
        <v>9.3117000000000001</v>
      </c>
      <c r="AE15" s="6">
        <v>2.2999999999999998</v>
      </c>
      <c r="AF15" s="6">
        <v>8</v>
      </c>
      <c r="AG15" s="5" t="s">
        <v>93</v>
      </c>
      <c r="AH15" s="6">
        <v>3</v>
      </c>
      <c r="AI15" s="40">
        <v>12503</v>
      </c>
      <c r="AJ15" s="2" t="s">
        <v>56</v>
      </c>
      <c r="AK15" s="2" t="s">
        <v>56</v>
      </c>
      <c r="AL15" s="3">
        <v>3.25</v>
      </c>
      <c r="AM15" s="37" t="s">
        <v>52</v>
      </c>
    </row>
    <row r="16" spans="2:39" ht="27" x14ac:dyDescent="0.15">
      <c r="B16" s="3">
        <v>14</v>
      </c>
      <c r="C16" s="2" t="s">
        <v>40</v>
      </c>
      <c r="D16" s="2" t="s">
        <v>25</v>
      </c>
      <c r="E16" s="2" t="s">
        <v>22</v>
      </c>
      <c r="F16" s="2" t="s">
        <v>37</v>
      </c>
      <c r="G16" s="9" t="s">
        <v>43</v>
      </c>
      <c r="H16" s="9" t="s">
        <v>43</v>
      </c>
      <c r="I16" s="12">
        <v>25540</v>
      </c>
      <c r="J16" s="12"/>
      <c r="K16" s="12"/>
      <c r="L16" s="12"/>
      <c r="M16" s="12"/>
      <c r="N16" s="3"/>
      <c r="O16" s="17" t="s">
        <v>96</v>
      </c>
      <c r="P16" s="14">
        <v>89</v>
      </c>
      <c r="Q16" s="14">
        <v>132</v>
      </c>
      <c r="R16" s="20">
        <f>(P16*I16)/(10000)</f>
        <v>227.30600000000001</v>
      </c>
      <c r="S16" s="20">
        <f>(Q16*I16)/(10000)</f>
        <v>337.12799999999999</v>
      </c>
      <c r="T16" s="19">
        <v>45916</v>
      </c>
      <c r="U16" s="19">
        <v>46016</v>
      </c>
      <c r="V16" s="19">
        <v>46187</v>
      </c>
      <c r="W16" s="8"/>
      <c r="X16" s="19">
        <v>46904</v>
      </c>
      <c r="Y16" s="6">
        <v>763</v>
      </c>
      <c r="Z16" s="6">
        <v>763</v>
      </c>
      <c r="AA16" s="6">
        <v>449</v>
      </c>
      <c r="AB16" s="6">
        <f t="shared" si="0"/>
        <v>314</v>
      </c>
      <c r="AC16" s="5" t="s">
        <v>55</v>
      </c>
      <c r="AD16" s="31">
        <f>128778.46/(10000)</f>
        <v>12.877846</v>
      </c>
      <c r="AE16" s="6">
        <v>2.1</v>
      </c>
      <c r="AF16" s="6">
        <v>14</v>
      </c>
      <c r="AG16" s="5" t="s">
        <v>94</v>
      </c>
      <c r="AH16" s="5" t="s">
        <v>95</v>
      </c>
      <c r="AI16" s="40">
        <v>9773</v>
      </c>
      <c r="AJ16" s="2" t="s">
        <v>52</v>
      </c>
      <c r="AK16" s="35" t="s">
        <v>52</v>
      </c>
      <c r="AL16" s="3">
        <v>4.2</v>
      </c>
      <c r="AM16" s="2" t="s">
        <v>56</v>
      </c>
    </row>
    <row r="17" spans="2:39" x14ac:dyDescent="0.15">
      <c r="B17" s="3">
        <v>15</v>
      </c>
      <c r="C17" s="2" t="s">
        <v>42</v>
      </c>
      <c r="D17" s="2" t="s">
        <v>25</v>
      </c>
      <c r="E17" s="2" t="s">
        <v>22</v>
      </c>
      <c r="F17" s="2" t="s">
        <v>38</v>
      </c>
      <c r="G17" s="9" t="s">
        <v>43</v>
      </c>
      <c r="H17" s="9" t="s">
        <v>43</v>
      </c>
      <c r="I17" s="12">
        <v>26200</v>
      </c>
      <c r="J17" s="12"/>
      <c r="K17" s="12"/>
      <c r="L17" s="12"/>
      <c r="M17" s="12"/>
      <c r="N17" s="3"/>
      <c r="O17" s="17" t="s">
        <v>98</v>
      </c>
      <c r="P17" s="14">
        <v>88</v>
      </c>
      <c r="Q17" s="14">
        <v>128</v>
      </c>
      <c r="R17" s="20">
        <f>(P17*I17)/(10000)</f>
        <v>230.56</v>
      </c>
      <c r="S17" s="20">
        <f>(Q17*I17)/(10000)</f>
        <v>335.36</v>
      </c>
      <c r="T17" s="38">
        <v>44019</v>
      </c>
      <c r="U17" s="19">
        <v>44050</v>
      </c>
      <c r="V17" s="19">
        <v>45104</v>
      </c>
      <c r="W17" s="8"/>
      <c r="X17" s="38">
        <v>45290</v>
      </c>
      <c r="Y17" s="6"/>
      <c r="Z17" s="6">
        <f>703+212</f>
        <v>915</v>
      </c>
      <c r="AA17" s="6"/>
      <c r="AB17" s="6">
        <f t="shared" si="0"/>
        <v>0</v>
      </c>
      <c r="AC17" s="6"/>
      <c r="AD17" s="31">
        <f>96074/(10000)</f>
        <v>9.6074000000000002</v>
      </c>
      <c r="AE17" s="6">
        <v>2.4</v>
      </c>
      <c r="AF17" s="6">
        <f>19+14+9</f>
        <v>42</v>
      </c>
      <c r="AG17" s="5" t="s">
        <v>97</v>
      </c>
      <c r="AH17" s="6">
        <v>2.9</v>
      </c>
      <c r="AI17" s="40"/>
      <c r="AJ17" s="2" t="s">
        <v>56</v>
      </c>
      <c r="AK17" s="2" t="s">
        <v>56</v>
      </c>
      <c r="AL17" s="3">
        <v>2.75</v>
      </c>
      <c r="AM17" s="2" t="s">
        <v>56</v>
      </c>
    </row>
    <row r="18" spans="2:39" x14ac:dyDescent="0.15">
      <c r="B18" s="3"/>
      <c r="C18" s="3"/>
      <c r="D18" s="3"/>
      <c r="E18" s="3"/>
      <c r="F18" s="3"/>
      <c r="G18" s="10"/>
      <c r="H18" s="10"/>
      <c r="I18" s="12"/>
      <c r="J18" s="12"/>
      <c r="K18" s="12"/>
      <c r="L18" s="12"/>
      <c r="M18" s="12"/>
      <c r="N18" s="1"/>
      <c r="O18" s="18"/>
      <c r="P18" s="14"/>
      <c r="Q18" s="14"/>
      <c r="R18" s="20">
        <f t="shared" si="1"/>
        <v>0</v>
      </c>
      <c r="S18" s="20">
        <f t="shared" si="2"/>
        <v>0</v>
      </c>
      <c r="T18" s="8"/>
      <c r="U18" s="8"/>
      <c r="V18" s="8"/>
      <c r="W18" s="8"/>
      <c r="X18" s="8"/>
      <c r="Y18" s="6"/>
      <c r="Z18" s="6"/>
      <c r="AA18" s="6"/>
      <c r="AB18" s="6">
        <f t="shared" si="0"/>
        <v>0</v>
      </c>
      <c r="AC18" s="6"/>
      <c r="AD18" s="31">
        <f t="shared" si="3"/>
        <v>2.468</v>
      </c>
      <c r="AE18" s="6"/>
      <c r="AF18" s="6"/>
      <c r="AG18" s="6"/>
      <c r="AH18" s="6"/>
      <c r="AI18" s="40"/>
      <c r="AJ18" s="1"/>
      <c r="AK18" s="1"/>
      <c r="AL18" s="1"/>
      <c r="AM18" s="2" t="s">
        <v>56</v>
      </c>
    </row>
    <row r="19" spans="2:39" x14ac:dyDescent="0.15">
      <c r="B19" s="3"/>
      <c r="C19" s="3"/>
      <c r="D19" s="3"/>
      <c r="E19" s="3"/>
      <c r="F19" s="3"/>
      <c r="G19" s="10"/>
      <c r="H19" s="10"/>
      <c r="I19" s="12"/>
      <c r="J19" s="12"/>
      <c r="K19" s="12"/>
      <c r="L19" s="12"/>
      <c r="M19" s="12"/>
      <c r="N19" s="1"/>
      <c r="O19" s="18"/>
      <c r="P19" s="14"/>
      <c r="Q19" s="14"/>
      <c r="R19" s="20">
        <f t="shared" si="1"/>
        <v>0</v>
      </c>
      <c r="S19" s="20">
        <f t="shared" si="2"/>
        <v>0</v>
      </c>
      <c r="T19" s="8"/>
      <c r="U19" s="8"/>
      <c r="V19" s="8"/>
      <c r="W19" s="8"/>
      <c r="X19" s="8"/>
      <c r="Y19" s="6"/>
      <c r="Z19" s="6"/>
      <c r="AA19" s="6"/>
      <c r="AB19" s="6">
        <f t="shared" si="0"/>
        <v>0</v>
      </c>
      <c r="AC19" s="6"/>
      <c r="AD19" s="31">
        <f t="shared" si="3"/>
        <v>2.468</v>
      </c>
      <c r="AE19" s="6"/>
      <c r="AF19" s="6"/>
      <c r="AG19" s="6"/>
      <c r="AH19" s="6"/>
      <c r="AI19" s="40"/>
      <c r="AJ19" s="1"/>
      <c r="AK19" s="1"/>
      <c r="AL19" s="1"/>
      <c r="AM19" s="2" t="s">
        <v>56</v>
      </c>
    </row>
    <row r="20" spans="2:39" x14ac:dyDescent="0.15">
      <c r="B20" s="3"/>
      <c r="C20" s="3"/>
      <c r="D20" s="3"/>
      <c r="E20" s="3"/>
      <c r="F20" s="3"/>
      <c r="G20" s="10"/>
      <c r="H20" s="10"/>
      <c r="I20" s="12"/>
      <c r="J20" s="12"/>
      <c r="K20" s="12"/>
      <c r="L20" s="12"/>
      <c r="M20" s="12"/>
      <c r="N20" s="1"/>
      <c r="O20" s="18"/>
      <c r="P20" s="14"/>
      <c r="Q20" s="14"/>
      <c r="R20" s="20">
        <f t="shared" si="1"/>
        <v>0</v>
      </c>
      <c r="S20" s="20">
        <f t="shared" si="2"/>
        <v>0</v>
      </c>
      <c r="T20" s="8"/>
      <c r="U20" s="8"/>
      <c r="V20" s="8"/>
      <c r="W20" s="8"/>
      <c r="X20" s="8"/>
      <c r="Y20" s="6"/>
      <c r="Z20" s="6"/>
      <c r="AA20" s="6"/>
      <c r="AB20" s="6">
        <f t="shared" si="0"/>
        <v>0</v>
      </c>
      <c r="AC20" s="6"/>
      <c r="AD20" s="31">
        <f t="shared" si="3"/>
        <v>2.468</v>
      </c>
      <c r="AE20" s="6"/>
      <c r="AF20" s="6"/>
      <c r="AG20" s="6"/>
      <c r="AH20" s="6"/>
      <c r="AI20" s="40"/>
      <c r="AJ20" s="1"/>
      <c r="AK20" s="1"/>
      <c r="AL20" s="1"/>
      <c r="AM20" s="2" t="s">
        <v>56</v>
      </c>
    </row>
    <row r="21" spans="2:39" x14ac:dyDescent="0.15">
      <c r="B21" s="3"/>
      <c r="C21" s="3"/>
      <c r="D21" s="3"/>
      <c r="E21" s="3"/>
      <c r="F21" s="3"/>
      <c r="G21" s="10"/>
      <c r="H21" s="10"/>
      <c r="I21" s="12"/>
      <c r="J21" s="12"/>
      <c r="K21" s="12"/>
      <c r="L21" s="12"/>
      <c r="M21" s="12"/>
      <c r="N21" s="1"/>
      <c r="O21" s="18"/>
      <c r="P21" s="14"/>
      <c r="Q21" s="14"/>
      <c r="R21" s="20">
        <f t="shared" si="1"/>
        <v>0</v>
      </c>
      <c r="S21" s="20">
        <f t="shared" si="2"/>
        <v>0</v>
      </c>
      <c r="T21" s="8"/>
      <c r="U21" s="8"/>
      <c r="V21" s="8"/>
      <c r="W21" s="8"/>
      <c r="X21" s="8"/>
      <c r="Y21" s="6"/>
      <c r="Z21" s="6"/>
      <c r="AA21" s="6"/>
      <c r="AB21" s="6">
        <f t="shared" si="0"/>
        <v>0</v>
      </c>
      <c r="AC21" s="6"/>
      <c r="AD21" s="31">
        <f t="shared" si="3"/>
        <v>2.468</v>
      </c>
      <c r="AE21" s="6"/>
      <c r="AF21" s="6"/>
      <c r="AG21" s="6"/>
      <c r="AH21" s="6"/>
      <c r="AI21" s="40"/>
      <c r="AJ21" s="1"/>
      <c r="AK21" s="1"/>
      <c r="AL21" s="1"/>
      <c r="AM21" s="2" t="s">
        <v>56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R6:S6 AD9 AD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ZE</cp:lastModifiedBy>
  <dcterms:created xsi:type="dcterms:W3CDTF">2023-05-12T11:15:00Z</dcterms:created>
  <dcterms:modified xsi:type="dcterms:W3CDTF">2026-06-23T12:56:45Z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